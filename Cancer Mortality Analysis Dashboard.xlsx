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986519DA-E26B-4C8B-9054-60F7C4D3F87D}" xr6:coauthVersionLast="47" xr6:coauthVersionMax="47" xr10:uidLastSave="{00000000-0000-0000-0000-000000000000}"/>
  <bookViews>
    <workbookView xWindow="-120" yWindow="-120" windowWidth="20730" windowHeight="11160" xr2:uid="{D66EC616-E8F3-4DF8-84DE-56E2D65AEF20}"/>
  </bookViews>
  <sheets>
    <sheet name="Dashboard" sheetId="2" r:id="rId1"/>
    <sheet name="Dataset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<sst xmlns="http://schemas.openxmlformats.org/spreadsheetml/2006/main" count="162" uniqueCount="63">
  <si>
    <t>CANCER PROJECT - SAMPLE DATASET (First 15 of 50 patients)</t>
  </si>
  <si>
    <t>Patient_ID</t>
  </si>
  <si>
    <t>Age</t>
  </si>
  <si>
    <t>Gender</t>
  </si>
  <si>
    <t>Cancer_Type</t>
  </si>
  <si>
    <t>Cancer_Stage</t>
  </si>
  <si>
    <t>Tumor_Size_cm</t>
  </si>
  <si>
    <t>Smoking_History</t>
  </si>
  <si>
    <t>Family_History</t>
  </si>
  <si>
    <t>Treatment_Type</t>
  </si>
  <si>
    <t>Survival_Status</t>
  </si>
  <si>
    <t>Location_State</t>
  </si>
  <si>
    <t>Month_Since_Diagnosed</t>
  </si>
  <si>
    <t>CA-1022</t>
  </si>
  <si>
    <t>CA-1017</t>
  </si>
  <si>
    <t>CA-1048</t>
  </si>
  <si>
    <t>CA-1015</t>
  </si>
  <si>
    <t>CA-1036</t>
  </si>
  <si>
    <t>CA-1043</t>
  </si>
  <si>
    <t>CA-1038</t>
  </si>
  <si>
    <t>CA-1004</t>
  </si>
  <si>
    <t>CA-1040</t>
  </si>
  <si>
    <t>CA-1046</t>
  </si>
  <si>
    <t>CA-1009</t>
  </si>
  <si>
    <t>CA-1010</t>
  </si>
  <si>
    <t>CA-1025</t>
  </si>
  <si>
    <t>CA-1045</t>
  </si>
  <si>
    <t>CA-1033</t>
  </si>
  <si>
    <t>Female</t>
  </si>
  <si>
    <t>Male</t>
  </si>
  <si>
    <t>Prostate</t>
  </si>
  <si>
    <t>Lung</t>
  </si>
  <si>
    <t>Cervical</t>
  </si>
  <si>
    <t>Breast</t>
  </si>
  <si>
    <t>Stage 2</t>
  </si>
  <si>
    <t>Stage 3</t>
  </si>
  <si>
    <t>Stage 4</t>
  </si>
  <si>
    <t>Stage 1</t>
  </si>
  <si>
    <t>Former</t>
  </si>
  <si>
    <t>Never</t>
  </si>
  <si>
    <t>Current</t>
  </si>
  <si>
    <t>No</t>
  </si>
  <si>
    <t>Yes</t>
  </si>
  <si>
    <t>Radiotherapy</t>
  </si>
  <si>
    <t>Surgery</t>
  </si>
  <si>
    <t>Chemotherapy</t>
  </si>
  <si>
    <t>Chemo+Surgery</t>
  </si>
  <si>
    <t>Under Treatment</t>
  </si>
  <si>
    <t>Deceased</t>
  </si>
  <si>
    <t>Survived</t>
  </si>
  <si>
    <t>Kano</t>
  </si>
  <si>
    <t>Abuja</t>
  </si>
  <si>
    <t>Rivers</t>
  </si>
  <si>
    <t>Enugu</t>
  </si>
  <si>
    <t>Oyo</t>
  </si>
  <si>
    <t>Lagos</t>
  </si>
  <si>
    <t>Row Labels</t>
  </si>
  <si>
    <t>Grand Total</t>
  </si>
  <si>
    <t>Column Labels</t>
  </si>
  <si>
    <t>Count of Age</t>
  </si>
  <si>
    <t>COUNT OF PATIENTS BY CANCER TYPE &amp; SURVIVAL STATUS</t>
  </si>
  <si>
    <t>Deceased/ Survived/ Under Treatment - Breast, Cervical, Lung, And Prostate.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</si>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</sst>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0000"/>
      <name val="Baskerville Old Face"/>
      <family val="1"/>
    </font>
    <font>
      <b/>
      <sz val="11"/>
      <color theme="3"/>
      <name val="Baskerville Old Face"/>
      <family val="1"/>
    </font>
    <font>
      <sz val="11"/>
      <color rgb="FF0070C0"/>
      <name val="Baskerville Old Face"/>
      <family val="1"/>
    </font>
    <font>
      <sz val="11"/>
      <color rgb="FF0070C0"/>
      <name val="Calibri"/>
      <family val="2"/>
      <scheme val="minor"/>
    </font>
    <font>
      <sz val="20"/>
      <color theme="8" tint="-0.499984740745262"/>
      <name val="Bodoni MT Black"/>
      <family val="1"/>
    </font>
    <font>
      <b/>
      <sz val="18"/>
      <color theme="8" tint="-0.499984740745262"/>
      <name val="Britannic Bold"/>
      <family val="2"/>
    </font>
    <font>
      <b/>
      <sz val="12"/>
      <color theme="8" tint="-0.499984740745262"/>
      <name val="Britannic Bold"/>
      <family val="2"/>
    </font>
    <font>
      <b/>
      <i/>
      <sz val="12"/>
      <color theme="6" tint="-0.249977111117893"/>
      <name val="Britannic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 Mortality Analysis Dashboard.xlsx]Dashboard!PivotTable1</c:name>
    <c:fmtId val="14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A5A5A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Dashboard!$B$6:$B$7</c:f>
              <c:strCache>
                <c:ptCount val="1"/>
                <c:pt idx="0">
                  <c:v>Deceased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Dashboard!$A$8:$A$12</c:f>
              <c:strCache>
                <c:ptCount val="4"/>
                <c:pt idx="0">
                  <c:v>Breast</c:v>
                </c:pt>
                <c:pt idx="1">
                  <c:v>Cervical</c:v>
                </c:pt>
                <c:pt idx="2">
                  <c:v>Lung</c:v>
                </c:pt>
                <c:pt idx="3">
                  <c:v>Prostate</c:v>
                </c:pt>
              </c:strCache>
            </c:strRef>
          </c:cat>
          <c:val>
            <c:numRef>
              <c:f>Dashboard!$B$8:$B$12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A-4E5E-9A00-3C27354766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994892719"/>
        <c:axId val="2064585183"/>
      </c:barChart>
      <c:catAx>
        <c:axId val="199489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585183"/>
        <c:crosses val="autoZero"/>
        <c:auto val="1"/>
        <c:lblAlgn val="ctr"/>
        <c:lblOffset val="100"/>
        <c:noMultiLvlLbl val="0"/>
      </c:catAx>
      <c:valAx>
        <c:axId val="2064585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89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 Mortality Analysis Dashboard.xlsx]Dashboard!PivotTable1</c:name>
    <c:fmtId val="16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Dashboard!$B$6:$B$7</c:f>
              <c:strCache>
                <c:ptCount val="1"/>
                <c:pt idx="0">
                  <c:v>Deceased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8A5-4A32-A708-5A235703299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8A5-4A32-A708-5A235703299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8A5-4A32-A708-5A235703299A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8A5-4A32-A708-5A2357032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Dashboard!$A$8:$A$12</c:f>
              <c:strCache>
                <c:ptCount val="4"/>
                <c:pt idx="0">
                  <c:v>Breast</c:v>
                </c:pt>
                <c:pt idx="1">
                  <c:v>Cervical</c:v>
                </c:pt>
                <c:pt idx="2">
                  <c:v>Lung</c:v>
                </c:pt>
                <c:pt idx="3">
                  <c:v>Prostate</c:v>
                </c:pt>
              </c:strCache>
            </c:strRef>
          </c:cat>
          <c:val>
            <c:numRef>
              <c:f>Dashboard!$B$8:$B$12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A5-4A32-A708-5A235703299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321546</xdr:colOff>
      <xdr:row>3</xdr:row>
      <xdr:rowOff>81328</xdr:rowOff>
    </xdr:from>
    <xdr:to>
      <xdr:col>21</xdr:col>
      <xdr:colOff>443841</xdr:colOff>
      <xdr:row>17</xdr:row>
      <xdr:rowOff>133351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53325A77-6402-3E24-59BF-068B442EB176}"/>
            </a:ext>
          </a:extLst>
        </xdr:cNvPr>
        <xdr:cNvGrpSpPr/>
      </xdr:nvGrpSpPr>
      <xdr:grpSpPr>
        <a:xfrm>
          <a:off x="658584" y="784713"/>
          <a:ext cx="8365084" cy="2931503"/>
          <a:chOff x="614623" y="850655"/>
          <a:chExt cx="8365084" cy="2931503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3DED0D71-3FBD-CA55-0D07-ABDD0531D9B7}"/>
              </a:ext>
            </a:extLst>
          </xdr:cNvPr>
          <xdr:cNvGrpSpPr/>
        </xdr:nvGrpSpPr>
        <xdr:grpSpPr>
          <a:xfrm>
            <a:off x="614623" y="850655"/>
            <a:ext cx="3843808" cy="2856458"/>
            <a:chOff x="614623" y="850655"/>
            <a:chExt cx="3843808" cy="2856458"/>
          </a:xfrm>
        </xdr:grpSpPr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DB3F49C-B846-4F58-A9D6-1BD58245878D}"/>
                </a:ext>
              </a:extLst>
            </xdr:cNvPr>
            <xdr:cNvGraphicFramePr>
              <a:graphicFrameLocks/>
            </xdr:cNvGraphicFramePr>
          </xdr:nvGraphicFramePr>
          <xdr:xfrm>
            <a:off x="618448" y="1192839"/>
            <a:ext cx="3816088" cy="25142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B4A483E-F503-4052-92C5-3C8712B33FF2}"/>
                </a:ext>
              </a:extLst>
            </xdr:cNvPr>
            <xdr:cNvSpPr txBox="1"/>
          </xdr:nvSpPr>
          <xdr:spPr>
            <a:xfrm>
              <a:off x="614623" y="850655"/>
              <a:ext cx="3843808" cy="356429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2000">
                  <a:solidFill>
                    <a:schemeClr val="accent5">
                      <a:lumMod val="40000"/>
                      <a:lumOff val="60000"/>
                    </a:schemeClr>
                  </a:solidFill>
                  <a:latin typeface="Baskerville Old Face" panose="02020602080505020303" pitchFamily="18" charset="0"/>
                </a:rPr>
                <a:t>CANCER TYPE (Count)</a:t>
              </a:r>
            </a:p>
          </xdr:txBody>
        </xdr: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12FBB9CF-E551-BA83-8EB7-0E0EADEA7937}"/>
              </a:ext>
            </a:extLst>
          </xdr:cNvPr>
          <xdr:cNvGrpSpPr/>
        </xdr:nvGrpSpPr>
        <xdr:grpSpPr>
          <a:xfrm>
            <a:off x="5071219" y="880251"/>
            <a:ext cx="3908488" cy="2901907"/>
            <a:chOff x="5071219" y="880251"/>
            <a:chExt cx="3908488" cy="2901907"/>
          </a:xfrm>
        </xdr:grpSpPr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59B864F-51B7-4686-B990-9601DE5CF354}"/>
                </a:ext>
              </a:extLst>
            </xdr:cNvPr>
            <xdr:cNvGraphicFramePr>
              <a:graphicFrameLocks/>
            </xdr:cNvGraphicFramePr>
          </xdr:nvGraphicFramePr>
          <xdr:xfrm>
            <a:off x="5108178" y="1210087"/>
            <a:ext cx="3853048" cy="257207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B7426D4-6338-4EED-A87C-A0121647826D}"/>
                </a:ext>
              </a:extLst>
            </xdr:cNvPr>
            <xdr:cNvSpPr txBox="1"/>
          </xdr:nvSpPr>
          <xdr:spPr>
            <a:xfrm>
              <a:off x="5071219" y="880251"/>
              <a:ext cx="3908488" cy="346796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2000">
                  <a:solidFill>
                    <a:schemeClr val="accent6">
                      <a:lumMod val="50000"/>
                    </a:schemeClr>
                  </a:solidFill>
                  <a:latin typeface="Baskerville Old Face" panose="02020602080505020303" pitchFamily="18" charset="0"/>
                </a:rPr>
                <a:t>CANCER TYPE (Count)</a:t>
              </a: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295.713708333336" createdVersion="8" refreshedVersion="8" minRefreshableVersion="3" recordCount="15" xr:uid="{5A080BD7-98C3-4D07-9E0D-460930782C7E}">
  <cacheSource type="worksheet">
    <worksheetSource ref="A2:L17" sheet="Dataset"/>
  </cacheSource>
  <cacheFields count="12">
    <cacheField name="Patient_ID" numFmtId="0">
      <sharedItems count="15">
        <s v="CA-1022"/>
        <s v="CA-1017"/>
        <s v="CA-1048"/>
        <s v="CA-1015"/>
        <s v="CA-1036"/>
        <s v="CA-1043"/>
        <s v="CA-1038"/>
        <s v="CA-1004"/>
        <s v="CA-1040"/>
        <s v="CA-1046"/>
        <s v="CA-1009"/>
        <s v="CA-1010"/>
        <s v="CA-1025"/>
        <s v="CA-1045"/>
        <s v="CA-1033"/>
      </sharedItems>
    </cacheField>
    <cacheField name="Age" numFmtId="0">
      <sharedItems containsSemiMixedTypes="0" containsString="0" containsNumber="1" containsInteger="1" minValue="19" maxValue="32"/>
    </cacheField>
    <cacheField name="Gender" numFmtId="0">
      <sharedItems count="2">
        <s v="Female"/>
        <s v="Male"/>
      </sharedItems>
    </cacheField>
    <cacheField name="Cancer_Type" numFmtId="0">
      <sharedItems count="4">
        <s v="Prostate"/>
        <s v="Lung"/>
        <s v="Cervical"/>
        <s v="Breast"/>
      </sharedItems>
    </cacheField>
    <cacheField name="Cancer_Stage" numFmtId="0">
      <sharedItems/>
    </cacheField>
    <cacheField name="Tumor_Size_cm" numFmtId="0">
      <sharedItems containsSemiMixedTypes="0" containsString="0" containsNumber="1" minValue="1.9" maxValue="8.3000000000000007"/>
    </cacheField>
    <cacheField name="Smoking_History" numFmtId="0">
      <sharedItems/>
    </cacheField>
    <cacheField name="Family_History" numFmtId="0">
      <sharedItems/>
    </cacheField>
    <cacheField name="Treatment_Type" numFmtId="0">
      <sharedItems/>
    </cacheField>
    <cacheField name="Survival_Status" numFmtId="0">
      <sharedItems count="3">
        <s v="Under Treatment"/>
        <s v="Deceased"/>
        <s v="Survived"/>
      </sharedItems>
    </cacheField>
    <cacheField name="Location_State" numFmtId="0">
      <sharedItems/>
    </cacheField>
    <cacheField name="Month_Since_Diagnosed" numFmtId="0">
      <sharedItems containsSemiMixedTypes="0" containsString="0" containsNumber="1" containsInteger="1" minValue="6" maxValue="54"/>
    </cacheField>
  </cacheFields>
  <extLst>
    <ext xmlns:x14="http://schemas.microsoft.com/office/spreadsheetml/2009/9/main" uri="{725AE2AE-9491-48be-B2B4-4EB974FC3084}">
      <x14:pivotCacheDefinition pivotCacheId="3371541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19"/>
    <x v="0"/>
    <x v="0"/>
    <s v="Stage 2"/>
    <n v="4.4000000000000004"/>
    <s v="Former"/>
    <s v="No"/>
    <s v="Radiotherapy"/>
    <x v="0"/>
    <s v="Kano"/>
    <n v="20"/>
  </r>
  <r>
    <x v="1"/>
    <n v="19"/>
    <x v="1"/>
    <x v="0"/>
    <s v="Stage 3"/>
    <n v="3.5"/>
    <s v="Never"/>
    <s v="No"/>
    <s v="Surgery"/>
    <x v="1"/>
    <s v="Abuja"/>
    <n v="45"/>
  </r>
  <r>
    <x v="2"/>
    <n v="19"/>
    <x v="0"/>
    <x v="1"/>
    <s v="Stage 4"/>
    <n v="5.0999999999999996"/>
    <s v="Never"/>
    <s v="No"/>
    <s v="Chemotherapy"/>
    <x v="1"/>
    <s v="Rivers"/>
    <n v="21"/>
  </r>
  <r>
    <x v="3"/>
    <n v="20"/>
    <x v="0"/>
    <x v="0"/>
    <s v="Stage 2"/>
    <n v="5.9"/>
    <s v="Never"/>
    <s v="Yes"/>
    <s v="Chemotherapy"/>
    <x v="2"/>
    <s v="Abuja"/>
    <n v="39"/>
  </r>
  <r>
    <x v="4"/>
    <n v="20"/>
    <x v="0"/>
    <x v="0"/>
    <s v="Stage 1"/>
    <n v="2.5"/>
    <s v="Never"/>
    <s v="No"/>
    <s v="Chemo+Surgery"/>
    <x v="2"/>
    <s v="Abuja"/>
    <n v="38"/>
  </r>
  <r>
    <x v="5"/>
    <n v="21"/>
    <x v="0"/>
    <x v="0"/>
    <s v="Stage 2"/>
    <n v="5.7"/>
    <s v="Never"/>
    <s v="Yes"/>
    <s v="Surgery"/>
    <x v="2"/>
    <s v="Enugu"/>
    <n v="45"/>
  </r>
  <r>
    <x v="6"/>
    <n v="24"/>
    <x v="0"/>
    <x v="2"/>
    <s v="Stage 2"/>
    <n v="8.3000000000000007"/>
    <s v="Never"/>
    <s v="No"/>
    <s v="Chemo+Surgery"/>
    <x v="1"/>
    <s v="Abuja"/>
    <n v="6"/>
  </r>
  <r>
    <x v="7"/>
    <n v="25"/>
    <x v="1"/>
    <x v="0"/>
    <s v="Stage 3"/>
    <n v="7.6"/>
    <s v="Current"/>
    <s v="Yes"/>
    <s v="Chemotherapy"/>
    <x v="2"/>
    <s v="Rivers"/>
    <n v="36"/>
  </r>
  <r>
    <x v="8"/>
    <n v="26"/>
    <x v="0"/>
    <x v="3"/>
    <s v="Stage 4"/>
    <n v="7.7"/>
    <s v="Never"/>
    <s v="Yes"/>
    <s v="Chemo+Surgery"/>
    <x v="2"/>
    <s v="Oyo"/>
    <n v="44"/>
  </r>
  <r>
    <x v="9"/>
    <n v="26"/>
    <x v="0"/>
    <x v="3"/>
    <s v="Stage 2"/>
    <n v="2.2999999999999998"/>
    <s v="Former"/>
    <s v="Yes"/>
    <s v="Chemotherapy"/>
    <x v="2"/>
    <s v="Lagos"/>
    <n v="16"/>
  </r>
  <r>
    <x v="10"/>
    <n v="28"/>
    <x v="1"/>
    <x v="2"/>
    <s v="Stage 2"/>
    <n v="7.4"/>
    <s v="Former"/>
    <s v="No"/>
    <s v="Surgery"/>
    <x v="1"/>
    <s v="Rivers"/>
    <n v="54"/>
  </r>
  <r>
    <x v="11"/>
    <n v="28"/>
    <x v="0"/>
    <x v="2"/>
    <s v="Stage 1"/>
    <n v="3.7"/>
    <s v="Current"/>
    <s v="No"/>
    <s v="Chemotherapy"/>
    <x v="2"/>
    <s v="Oyo"/>
    <n v="39"/>
  </r>
  <r>
    <x v="12"/>
    <n v="29"/>
    <x v="0"/>
    <x v="3"/>
    <s v="Stage 4"/>
    <n v="1.9"/>
    <s v="Never"/>
    <s v="Yes"/>
    <s v="Chemotherapy"/>
    <x v="1"/>
    <s v="Lagos"/>
    <n v="41"/>
  </r>
  <r>
    <x v="13"/>
    <n v="31"/>
    <x v="1"/>
    <x v="0"/>
    <s v="Stage 3"/>
    <n v="7.4"/>
    <s v="Never"/>
    <s v="Yes"/>
    <s v="Chemo+Surgery"/>
    <x v="0"/>
    <s v="Oyo"/>
    <n v="21"/>
  </r>
  <r>
    <x v="14"/>
    <n v="32"/>
    <x v="1"/>
    <x v="2"/>
    <s v="Stage 3"/>
    <n v="4.8"/>
    <s v="Never"/>
    <s v="Yes"/>
    <s v="Radiotherapy"/>
    <x v="2"/>
    <s v="Oyo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265DF-17C4-4AC8-BE89-ED8D73A7E3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6:C12" firstHeaderRow="1" firstDataRow="2" firstDataCol="1" rowPageCount="1" colPageCount="1"/>
  <pivotFields count="12">
    <pivotField showAll="0">
      <items count="16">
        <item x="7"/>
        <item x="10"/>
        <item x="11"/>
        <item x="3"/>
        <item x="1"/>
        <item x="0"/>
        <item x="12"/>
        <item x="14"/>
        <item x="4"/>
        <item x="6"/>
        <item x="8"/>
        <item x="5"/>
        <item x="13"/>
        <item x="9"/>
        <item x="2"/>
        <item t="default"/>
      </items>
    </pivotField>
    <pivotField dataField="1" showAll="0"/>
    <pivotField axis="axisPage" multipleItemSelectionAllowed="1" showAll="0">
      <items count="3">
        <item x="0"/>
        <item x="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h="1"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2">
    <i>
      <x/>
    </i>
    <i t="grand">
      <x/>
    </i>
  </colItems>
  <pageFields count="1">
    <pageField fld="2" hier="-1"/>
  </pageFields>
  <dataFields count="1">
    <dataField name="Count of Age" fld="1" subtotal="count" baseField="0" baseItem="0"/>
  </dataFields>
  <chartFormats count="23"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9" count="1" selected="0">
            <x v="0"/>
          </reference>
        </references>
      </pivotArea>
    </chartFormat>
    <chartFormat chart="16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9" count="1" selected="0">
            <x v="0"/>
          </reference>
        </references>
      </pivotArea>
    </chartFormat>
    <chartFormat chart="16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9" count="1" selected="0">
            <x v="0"/>
          </reference>
        </references>
      </pivotArea>
    </chartFormat>
    <chartFormat chart="1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9" count="1" selected="0">
            <x v="0"/>
          </reference>
        </references>
      </pivotArea>
    </chartFormat>
    <chartFormat chart="19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4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4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6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4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6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9" count="1" selected="0">
            <x v="1"/>
          </reference>
        </references>
      </pivotArea>
    </chartFormat>
    <chartFormat chart="16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9" count="1" selected="0">
            <x v="1"/>
          </reference>
        </references>
      </pivotArea>
    </chartFormat>
    <chartFormat chart="16" format="3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9" count="1" selected="0">
            <x v="1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9" count="1" selected="0">
            <x v="1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9" count="1" selected="0">
            <x v="2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9" count="1" selected="0">
            <x v="2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9" count="1" selected="0">
            <x v="2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8965-3E11-4CCC-BBE4-F605C810A038}">
  <dimension ref="A2:V22"/>
  <sheetViews>
    <sheetView showGridLines="0" tabSelected="1" topLeftCell="G1" zoomScale="130" zoomScaleNormal="130" workbookViewId="0">
      <selection activeCell="W1" sqref="W1"/>
    </sheetView>
  </sheetViews>
  <sheetFormatPr defaultRowHeight="15" x14ac:dyDescent="0.25"/>
  <cols>
    <col min="1" max="1" width="13.140625" hidden="1" customWidth="1"/>
    <col min="2" max="2" width="16.28515625" hidden="1" customWidth="1"/>
    <col min="3" max="3" width="8.7109375" hidden="1" customWidth="1"/>
    <col min="4" max="4" width="16.42578125" hidden="1" customWidth="1"/>
    <col min="5" max="5" width="11.28515625" hidden="1" customWidth="1"/>
    <col min="6" max="6" width="5" customWidth="1"/>
    <col min="7" max="7" width="5.42578125" customWidth="1"/>
    <col min="8" max="8" width="7" customWidth="1"/>
    <col min="9" max="9" width="8.140625" bestFit="1" customWidth="1"/>
    <col min="10" max="10" width="7.42578125" customWidth="1"/>
    <col min="11" max="15" width="8.140625" bestFit="1" customWidth="1"/>
    <col min="16" max="16" width="9.5703125" customWidth="1"/>
    <col min="17" max="17" width="11.28515625" bestFit="1" customWidth="1"/>
    <col min="18" max="18" width="6.85546875" customWidth="1"/>
    <col min="19" max="19" width="8.140625" customWidth="1"/>
    <col min="20" max="20" width="10" customWidth="1"/>
    <col min="22" max="22" width="7.140625" customWidth="1"/>
  </cols>
  <sheetData>
    <row r="2" spans="1:22" ht="23.25" customHeight="1" x14ac:dyDescent="0.4">
      <c r="A2" s="5"/>
      <c r="E2" s="7"/>
      <c r="F2" s="7"/>
      <c r="G2" s="9"/>
      <c r="H2" s="9"/>
      <c r="I2" s="9"/>
      <c r="J2" s="11" t="s">
        <v>60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8"/>
      <c r="V2" s="8"/>
    </row>
    <row r="3" spans="1:22" ht="17.25" customHeight="1" x14ac:dyDescent="0.4">
      <c r="A3" s="5"/>
      <c r="E3" s="7"/>
      <c r="F3" s="7"/>
      <c r="G3" s="9"/>
      <c r="H3" s="10"/>
      <c r="I3" s="10"/>
      <c r="J3" s="12" t="s">
        <v>61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0"/>
      <c r="V3" s="8"/>
    </row>
    <row r="4" spans="1:22" ht="31.5" customHeight="1" x14ac:dyDescent="0.4">
      <c r="A4" s="5" t="s">
        <v>3</v>
      </c>
      <c r="B4" t="s">
        <v>62</v>
      </c>
      <c r="E4" s="13"/>
      <c r="F4" s="13"/>
      <c r="G4" s="13"/>
      <c r="H4" s="13"/>
      <c r="I4" s="13"/>
      <c r="J4" s="13"/>
      <c r="L4" s="13"/>
      <c r="M4" s="13"/>
      <c r="N4" s="13"/>
      <c r="O4" s="13"/>
      <c r="P4" s="13"/>
      <c r="Q4" s="13"/>
      <c r="R4" s="13"/>
    </row>
    <row r="6" spans="1:22" x14ac:dyDescent="0.25">
      <c r="A6" s="5" t="s">
        <v>59</v>
      </c>
      <c r="B6" s="5" t="s">
        <v>58</v>
      </c>
    </row>
    <row r="7" spans="1:22" x14ac:dyDescent="0.25">
      <c r="A7" s="5" t="s">
        <v>56</v>
      </c>
      <c r="B7" t="s">
        <v>48</v>
      </c>
      <c r="C7" t="s">
        <v>57</v>
      </c>
    </row>
    <row r="8" spans="1:22" x14ac:dyDescent="0.25">
      <c r="A8" s="6" t="s">
        <v>33</v>
      </c>
      <c r="B8" s="15">
        <v>1</v>
      </c>
      <c r="C8" s="15">
        <v>1</v>
      </c>
    </row>
    <row r="9" spans="1:22" x14ac:dyDescent="0.25">
      <c r="A9" s="6" t="s">
        <v>32</v>
      </c>
      <c r="B9" s="15">
        <v>2</v>
      </c>
      <c r="C9" s="15">
        <v>2</v>
      </c>
    </row>
    <row r="10" spans="1:22" x14ac:dyDescent="0.25">
      <c r="A10" s="6" t="s">
        <v>31</v>
      </c>
      <c r="B10" s="15">
        <v>1</v>
      </c>
      <c r="C10" s="15">
        <v>1</v>
      </c>
    </row>
    <row r="11" spans="1:22" x14ac:dyDescent="0.25">
      <c r="A11" s="6" t="s">
        <v>30</v>
      </c>
      <c r="B11" s="15">
        <v>1</v>
      </c>
      <c r="C11" s="15">
        <v>1</v>
      </c>
    </row>
    <row r="12" spans="1:22" x14ac:dyDescent="0.25">
      <c r="A12" s="6" t="s">
        <v>57</v>
      </c>
      <c r="B12" s="15">
        <v>5</v>
      </c>
      <c r="C12" s="15">
        <v>5</v>
      </c>
    </row>
    <row r="22" spans="8:14" ht="26.25" x14ac:dyDescent="0.4">
      <c r="H22" s="7"/>
      <c r="I22" s="7"/>
      <c r="J22" s="7"/>
      <c r="K22" s="7"/>
      <c r="L22" s="7"/>
      <c r="M22" s="7"/>
      <c r="N22" s="7"/>
    </row>
  </sheetData>
  <mergeCells count="4">
    <mergeCell ref="J2:T2"/>
    <mergeCell ref="J3:T3"/>
    <mergeCell ref="E4:J4"/>
    <mergeCell ref="L4:R4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54FD-16B0-465F-AE46-3D1F08B4F8E1}">
  <dimension ref="A1:L17"/>
  <sheetViews>
    <sheetView workbookViewId="0">
      <selection activeCell="B4" sqref="B4"/>
    </sheetView>
  </sheetViews>
  <sheetFormatPr defaultRowHeight="15" x14ac:dyDescent="0.25"/>
  <cols>
    <col min="1" max="1" width="13.7109375" customWidth="1"/>
    <col min="4" max="4" width="16.85546875" customWidth="1"/>
    <col min="5" max="5" width="15.7109375" customWidth="1"/>
    <col min="6" max="6" width="18.42578125" customWidth="1"/>
    <col min="7" max="7" width="18.28515625" customWidth="1"/>
    <col min="8" max="8" width="18.140625" customWidth="1"/>
    <col min="9" max="9" width="18" customWidth="1"/>
    <col min="10" max="10" width="18.42578125" customWidth="1"/>
    <col min="11" max="11" width="16.7109375" customWidth="1"/>
    <col min="12" max="12" width="27" customWidth="1"/>
  </cols>
  <sheetData>
    <row r="1" spans="1:12" ht="18.7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 t="s">
        <v>13</v>
      </c>
      <c r="B3" s="2">
        <v>19</v>
      </c>
      <c r="C3" s="2" t="s">
        <v>28</v>
      </c>
      <c r="D3" s="2" t="s">
        <v>30</v>
      </c>
      <c r="E3" s="2" t="s">
        <v>34</v>
      </c>
      <c r="F3" s="3">
        <v>4.4000000000000004</v>
      </c>
      <c r="G3" s="2" t="s">
        <v>38</v>
      </c>
      <c r="H3" s="2" t="s">
        <v>41</v>
      </c>
      <c r="I3" s="2" t="s">
        <v>43</v>
      </c>
      <c r="J3" s="2" t="s">
        <v>47</v>
      </c>
      <c r="K3" s="2" t="s">
        <v>50</v>
      </c>
      <c r="L3" s="2">
        <v>20</v>
      </c>
    </row>
    <row r="4" spans="1:12" x14ac:dyDescent="0.25">
      <c r="A4" s="3" t="s">
        <v>14</v>
      </c>
      <c r="B4" s="4">
        <v>19</v>
      </c>
      <c r="C4" s="2" t="s">
        <v>29</v>
      </c>
      <c r="D4" s="2" t="s">
        <v>30</v>
      </c>
      <c r="E4" s="3" t="s">
        <v>35</v>
      </c>
      <c r="F4" s="3">
        <v>3.5</v>
      </c>
      <c r="G4" s="3" t="s">
        <v>39</v>
      </c>
      <c r="H4" s="3" t="s">
        <v>41</v>
      </c>
      <c r="I4" s="3" t="s">
        <v>44</v>
      </c>
      <c r="J4" s="3" t="s">
        <v>48</v>
      </c>
      <c r="K4" s="2" t="s">
        <v>51</v>
      </c>
      <c r="L4" s="2">
        <v>45</v>
      </c>
    </row>
    <row r="5" spans="1:12" x14ac:dyDescent="0.25">
      <c r="A5" s="3" t="s">
        <v>15</v>
      </c>
      <c r="B5" s="4">
        <v>19</v>
      </c>
      <c r="C5" s="2" t="s">
        <v>28</v>
      </c>
      <c r="D5" s="2" t="s">
        <v>31</v>
      </c>
      <c r="E5" s="3" t="s">
        <v>36</v>
      </c>
      <c r="F5" s="3">
        <v>5.0999999999999996</v>
      </c>
      <c r="G5" s="3" t="s">
        <v>39</v>
      </c>
      <c r="H5" s="3" t="s">
        <v>41</v>
      </c>
      <c r="I5" s="3" t="s">
        <v>45</v>
      </c>
      <c r="J5" s="3" t="s">
        <v>48</v>
      </c>
      <c r="K5" s="2" t="s">
        <v>52</v>
      </c>
      <c r="L5" s="2">
        <v>21</v>
      </c>
    </row>
    <row r="6" spans="1:12" x14ac:dyDescent="0.25">
      <c r="A6" s="3" t="s">
        <v>16</v>
      </c>
      <c r="B6" s="4">
        <v>20</v>
      </c>
      <c r="C6" s="2" t="s">
        <v>28</v>
      </c>
      <c r="D6" s="2" t="s">
        <v>30</v>
      </c>
      <c r="E6" s="3" t="s">
        <v>34</v>
      </c>
      <c r="F6" s="3">
        <v>5.9</v>
      </c>
      <c r="G6" s="3" t="s">
        <v>39</v>
      </c>
      <c r="H6" s="3" t="s">
        <v>42</v>
      </c>
      <c r="I6" s="3" t="s">
        <v>45</v>
      </c>
      <c r="J6" s="3" t="s">
        <v>49</v>
      </c>
      <c r="K6" s="2" t="s">
        <v>51</v>
      </c>
      <c r="L6" s="2">
        <v>39</v>
      </c>
    </row>
    <row r="7" spans="1:12" x14ac:dyDescent="0.25">
      <c r="A7" s="3" t="s">
        <v>17</v>
      </c>
      <c r="B7" s="4">
        <v>20</v>
      </c>
      <c r="C7" s="2" t="s">
        <v>28</v>
      </c>
      <c r="D7" s="2" t="s">
        <v>30</v>
      </c>
      <c r="E7" s="3" t="s">
        <v>37</v>
      </c>
      <c r="F7" s="3">
        <v>2.5</v>
      </c>
      <c r="G7" s="3" t="s">
        <v>39</v>
      </c>
      <c r="H7" s="3" t="s">
        <v>41</v>
      </c>
      <c r="I7" s="3" t="s">
        <v>46</v>
      </c>
      <c r="J7" s="3" t="s">
        <v>49</v>
      </c>
      <c r="K7" s="2" t="s">
        <v>51</v>
      </c>
      <c r="L7" s="2">
        <v>38</v>
      </c>
    </row>
    <row r="8" spans="1:12" x14ac:dyDescent="0.25">
      <c r="A8" s="3" t="s">
        <v>18</v>
      </c>
      <c r="B8" s="4">
        <v>21</v>
      </c>
      <c r="C8" s="2" t="s">
        <v>28</v>
      </c>
      <c r="D8" s="2" t="s">
        <v>30</v>
      </c>
      <c r="E8" s="3" t="s">
        <v>34</v>
      </c>
      <c r="F8" s="3">
        <v>5.7</v>
      </c>
      <c r="G8" s="3" t="s">
        <v>39</v>
      </c>
      <c r="H8" s="3" t="s">
        <v>42</v>
      </c>
      <c r="I8" s="3" t="s">
        <v>44</v>
      </c>
      <c r="J8" s="3" t="s">
        <v>49</v>
      </c>
      <c r="K8" s="2" t="s">
        <v>53</v>
      </c>
      <c r="L8" s="2">
        <v>45</v>
      </c>
    </row>
    <row r="9" spans="1:12" x14ac:dyDescent="0.25">
      <c r="A9" s="3" t="s">
        <v>19</v>
      </c>
      <c r="B9" s="4">
        <v>24</v>
      </c>
      <c r="C9" s="2" t="s">
        <v>28</v>
      </c>
      <c r="D9" s="2" t="s">
        <v>32</v>
      </c>
      <c r="E9" s="3" t="s">
        <v>34</v>
      </c>
      <c r="F9" s="3">
        <v>8.3000000000000007</v>
      </c>
      <c r="G9" s="3" t="s">
        <v>39</v>
      </c>
      <c r="H9" s="3" t="s">
        <v>41</v>
      </c>
      <c r="I9" s="3" t="s">
        <v>46</v>
      </c>
      <c r="J9" s="3" t="s">
        <v>48</v>
      </c>
      <c r="K9" s="2" t="s">
        <v>51</v>
      </c>
      <c r="L9" s="2">
        <v>6</v>
      </c>
    </row>
    <row r="10" spans="1:12" x14ac:dyDescent="0.25">
      <c r="A10" s="3" t="s">
        <v>20</v>
      </c>
      <c r="B10" s="4">
        <v>25</v>
      </c>
      <c r="C10" s="2" t="s">
        <v>29</v>
      </c>
      <c r="D10" s="2" t="s">
        <v>30</v>
      </c>
      <c r="E10" s="3" t="s">
        <v>35</v>
      </c>
      <c r="F10" s="3">
        <v>7.6</v>
      </c>
      <c r="G10" s="3" t="s">
        <v>40</v>
      </c>
      <c r="H10" s="3" t="s">
        <v>42</v>
      </c>
      <c r="I10" s="3" t="s">
        <v>45</v>
      </c>
      <c r="J10" s="3" t="s">
        <v>49</v>
      </c>
      <c r="K10" s="2" t="s">
        <v>52</v>
      </c>
      <c r="L10" s="2">
        <v>36</v>
      </c>
    </row>
    <row r="11" spans="1:12" x14ac:dyDescent="0.25">
      <c r="A11" s="3" t="s">
        <v>21</v>
      </c>
      <c r="B11" s="4">
        <v>26</v>
      </c>
      <c r="C11" s="2" t="s">
        <v>28</v>
      </c>
      <c r="D11" s="2" t="s">
        <v>33</v>
      </c>
      <c r="E11" s="3" t="s">
        <v>36</v>
      </c>
      <c r="F11" s="3">
        <v>7.7</v>
      </c>
      <c r="G11" s="3" t="s">
        <v>39</v>
      </c>
      <c r="H11" s="3" t="s">
        <v>42</v>
      </c>
      <c r="I11" s="3" t="s">
        <v>46</v>
      </c>
      <c r="J11" s="3" t="s">
        <v>49</v>
      </c>
      <c r="K11" s="2" t="s">
        <v>54</v>
      </c>
      <c r="L11" s="2">
        <v>44</v>
      </c>
    </row>
    <row r="12" spans="1:12" x14ac:dyDescent="0.25">
      <c r="A12" s="3" t="s">
        <v>22</v>
      </c>
      <c r="B12" s="4">
        <v>26</v>
      </c>
      <c r="C12" s="2" t="s">
        <v>28</v>
      </c>
      <c r="D12" s="2" t="s">
        <v>33</v>
      </c>
      <c r="E12" s="3" t="s">
        <v>34</v>
      </c>
      <c r="F12" s="3">
        <v>2.2999999999999998</v>
      </c>
      <c r="G12" s="3" t="s">
        <v>38</v>
      </c>
      <c r="H12" s="3" t="s">
        <v>42</v>
      </c>
      <c r="I12" s="3" t="s">
        <v>45</v>
      </c>
      <c r="J12" s="3" t="s">
        <v>49</v>
      </c>
      <c r="K12" s="2" t="s">
        <v>55</v>
      </c>
      <c r="L12" s="2">
        <v>16</v>
      </c>
    </row>
    <row r="13" spans="1:12" x14ac:dyDescent="0.25">
      <c r="A13" s="3" t="s">
        <v>23</v>
      </c>
      <c r="B13" s="4">
        <v>28</v>
      </c>
      <c r="C13" s="2" t="s">
        <v>29</v>
      </c>
      <c r="D13" s="2" t="s">
        <v>32</v>
      </c>
      <c r="E13" s="3" t="s">
        <v>34</v>
      </c>
      <c r="F13" s="3">
        <v>7.4</v>
      </c>
      <c r="G13" s="3" t="s">
        <v>38</v>
      </c>
      <c r="H13" s="3" t="s">
        <v>41</v>
      </c>
      <c r="I13" s="3" t="s">
        <v>44</v>
      </c>
      <c r="J13" s="3" t="s">
        <v>48</v>
      </c>
      <c r="K13" s="2" t="s">
        <v>52</v>
      </c>
      <c r="L13" s="2">
        <v>54</v>
      </c>
    </row>
    <row r="14" spans="1:12" x14ac:dyDescent="0.25">
      <c r="A14" s="3" t="s">
        <v>24</v>
      </c>
      <c r="B14" s="4">
        <v>28</v>
      </c>
      <c r="C14" s="2" t="s">
        <v>28</v>
      </c>
      <c r="D14" s="2" t="s">
        <v>32</v>
      </c>
      <c r="E14" s="3" t="s">
        <v>37</v>
      </c>
      <c r="F14" s="3">
        <v>3.7</v>
      </c>
      <c r="G14" s="3" t="s">
        <v>40</v>
      </c>
      <c r="H14" s="3" t="s">
        <v>41</v>
      </c>
      <c r="I14" s="3" t="s">
        <v>45</v>
      </c>
      <c r="J14" s="3" t="s">
        <v>49</v>
      </c>
      <c r="K14" s="2" t="s">
        <v>54</v>
      </c>
      <c r="L14" s="2">
        <v>39</v>
      </c>
    </row>
    <row r="15" spans="1:12" x14ac:dyDescent="0.25">
      <c r="A15" s="3" t="s">
        <v>25</v>
      </c>
      <c r="B15" s="4">
        <v>29</v>
      </c>
      <c r="C15" s="2" t="s">
        <v>28</v>
      </c>
      <c r="D15" s="2" t="s">
        <v>33</v>
      </c>
      <c r="E15" s="3" t="s">
        <v>36</v>
      </c>
      <c r="F15" s="3">
        <v>1.9</v>
      </c>
      <c r="G15" s="3" t="s">
        <v>39</v>
      </c>
      <c r="H15" s="3" t="s">
        <v>42</v>
      </c>
      <c r="I15" s="3" t="s">
        <v>45</v>
      </c>
      <c r="J15" s="3" t="s">
        <v>48</v>
      </c>
      <c r="K15" s="2" t="s">
        <v>55</v>
      </c>
      <c r="L15" s="2">
        <v>41</v>
      </c>
    </row>
    <row r="16" spans="1:12" x14ac:dyDescent="0.25">
      <c r="A16" s="3" t="s">
        <v>26</v>
      </c>
      <c r="B16" s="4">
        <v>31</v>
      </c>
      <c r="C16" s="2" t="s">
        <v>29</v>
      </c>
      <c r="D16" s="2" t="s">
        <v>30</v>
      </c>
      <c r="E16" s="3" t="s">
        <v>35</v>
      </c>
      <c r="F16" s="3">
        <v>7.4</v>
      </c>
      <c r="G16" s="3" t="s">
        <v>39</v>
      </c>
      <c r="H16" s="3" t="s">
        <v>42</v>
      </c>
      <c r="I16" s="3" t="s">
        <v>46</v>
      </c>
      <c r="J16" s="3" t="s">
        <v>47</v>
      </c>
      <c r="K16" s="2" t="s">
        <v>54</v>
      </c>
      <c r="L16" s="2">
        <v>21</v>
      </c>
    </row>
    <row r="17" spans="1:12" x14ac:dyDescent="0.25">
      <c r="A17" s="3" t="s">
        <v>27</v>
      </c>
      <c r="B17" s="4">
        <v>32</v>
      </c>
      <c r="C17" s="2" t="s">
        <v>29</v>
      </c>
      <c r="D17" s="2" t="s">
        <v>32</v>
      </c>
      <c r="E17" s="3" t="s">
        <v>35</v>
      </c>
      <c r="F17" s="3">
        <v>4.8</v>
      </c>
      <c r="G17" s="3" t="s">
        <v>39</v>
      </c>
      <c r="H17" s="3" t="s">
        <v>42</v>
      </c>
      <c r="I17" s="3" t="s">
        <v>43</v>
      </c>
      <c r="J17" s="3" t="s">
        <v>49</v>
      </c>
      <c r="K17" s="2" t="s">
        <v>54</v>
      </c>
      <c r="L17" s="2">
        <v>25</v>
      </c>
    </row>
  </sheetData>
  <mergeCells count="1">
    <mergeCell ref="A1:L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Daniels</dc:creator>
  <cp:lastModifiedBy>Ruth Daniels</cp:lastModifiedBy>
  <dcterms:created xsi:type="dcterms:W3CDTF">2026-09-28T16:29:23Z</dcterms:created>
  <dcterms:modified xsi:type="dcterms:W3CDTF">2026-10-01T18:32:55Z</dcterms:modified>
</cp:coreProperties>
</file>